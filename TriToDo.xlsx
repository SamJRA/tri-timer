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xr:revisionPtr revIDLastSave="244" documentId="7_{046A3801-B870-2144-A3DE-C380BD0DB075}" xr6:coauthVersionLast="47" xr6:coauthVersionMax="47" xr10:uidLastSave="{7DFE4FBB-F70E-4043-A84C-23B87A408722}"/>
  <bookViews>
    <workbookView xWindow="0" yWindow="0" windowWidth="0" windowHeight="0" xr2:uid="{00000000-000D-0000-FFFF-FFFF00000000}"/>
  </bookViews>
  <sheets>
    <sheet name="To Do" sheetId="1" r:id="rId1"/>
    <sheet name="Guide" sheetId="3" r:id="rId2"/>
    <sheet name="Schedul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8" i="2" l="1"/>
  <c r="X9" i="2"/>
  <c r="T8" i="2"/>
  <c r="T9" i="2"/>
  <c r="P8" i="2"/>
</calcChain>
</file>

<file path=xl/sharedStrings.xml><?xml version="1.0" encoding="utf-8"?>
<sst xmlns="http://schemas.openxmlformats.org/spreadsheetml/2006/main" count="118" uniqueCount="92">
  <si>
    <t>List</t>
  </si>
  <si>
    <t>Lead up</t>
  </si>
  <si>
    <t>Day Before</t>
  </si>
  <si>
    <t>Table cloth</t>
  </si>
  <si>
    <t>Guide</t>
  </si>
  <si>
    <t>Signage and chalk</t>
  </si>
  <si>
    <t>Gatorade</t>
  </si>
  <si>
    <t>Talk to the pool</t>
  </si>
  <si>
    <t>Prep aid station</t>
  </si>
  <si>
    <t>Cups</t>
  </si>
  <si>
    <t>Shop with Chris</t>
  </si>
  <si>
    <t>Ice</t>
  </si>
  <si>
    <t>Chalk</t>
  </si>
  <si>
    <t>Signs</t>
  </si>
  <si>
    <t>Red sharpie</t>
  </si>
  <si>
    <t>Oranges</t>
  </si>
  <si>
    <t>Bananas</t>
  </si>
  <si>
    <t>Prep</t>
  </si>
  <si>
    <t>Welcome to the first edition of Mega House Tri a Try! This is your chance to try a triathlon, practice for an upcoming race, or just have fun with friends. Be safe and see you on the course :)</t>
  </si>
  <si>
    <t xml:space="preserve">The day will start at Mega House at 9am - arrive early! Atheletes must check-in upon arrival and setup their T2 (transition from bike to run) in the garage. A mandatory race briefing will happen inside between 9:30-9:40. </t>
  </si>
  <si>
    <t>At 9:40 athelets will travel to the pool via bike with the option to place other gear in a vehicle that will meet them at the pool.</t>
  </si>
  <si>
    <t>The swim will occure during the public lane swim session at Rengstorff pool. Depending on how busy the pool is, athlete will select a lane corresponding to their expected speed and either all begin simultaneously (mass start) or be split into heats approximetly 15 minutes apart. In either case be mindful of other patrons and follow directions of pool staff &amp; lilfeguards.</t>
  </si>
  <si>
    <t>The swim distance is 750m (30 laps). Athletes must track their own progress via smart watch or counting laps.</t>
  </si>
  <si>
    <t>Athletes will exit the water and make their way outside the recreation complex to transition to the bike segment. Althetes have the option to stop in the changing room before heading to the bike.</t>
  </si>
  <si>
    <t xml:space="preserve">Once in transition, athletes must equip their helmet before heading out onto the bike course. </t>
  </si>
  <si>
    <t>The bike course is a 20km point-to-point ride from Rengstorff pool to Mega House, extending south through Loyola. This portion is self-supported meaning the athlete must carry their own nutrition and hydration required for the duration of the bike.</t>
  </si>
  <si>
    <t>The course will be partially marked with chalk arrows on the ground and small signage.It is the athletes responsibility to stay on course.</t>
  </si>
  <si>
    <t>If you're worried about getting lost, carry your phone. Use the RidewithGPS app with location services turned on to overlay your location on the course map.</t>
  </si>
  <si>
    <t>The course follows public roads and paths - follow traffic laws and exercise caution at all times!</t>
  </si>
  <si>
    <t>Athletes will disembark in the Mega House driveway, pass off their bike to a volunteer, and equipe their running gear in the garage.</t>
  </si>
  <si>
    <t>The run consists of a 2 lap clockwise course starting and ending at the Mega House.</t>
  </si>
  <si>
    <t>The course will be partially marked with chalk arrows on the ground.</t>
  </si>
  <si>
    <t>All segments of the race will be timed and available for viewing after the race.</t>
  </si>
  <si>
    <t>Athlete schedule</t>
  </si>
  <si>
    <t>Race director 1</t>
  </si>
  <si>
    <t>Race director 2</t>
  </si>
  <si>
    <t>Estimated fastest times</t>
  </si>
  <si>
    <t>Estimated slowest times</t>
  </si>
  <si>
    <t>Estimated Sam time</t>
  </si>
  <si>
    <t>9:00</t>
  </si>
  <si>
    <t>Check-in at Mega House</t>
  </si>
  <si>
    <t>9:00-9:50</t>
  </si>
  <si>
    <t>Mega House</t>
  </si>
  <si>
    <t xml:space="preserve">Check-in. T2 setup guidance. Athlete briefing. </t>
  </si>
  <si>
    <t>9:00-9:30</t>
  </si>
  <si>
    <t>Check-in. T2 setup guidance.</t>
  </si>
  <si>
    <t>Swim</t>
  </si>
  <si>
    <t>1:08/100m</t>
  </si>
  <si>
    <t>3:00/100m</t>
  </si>
  <si>
    <t>1:30/100m</t>
  </si>
  <si>
    <t>T2 setup at Mega House</t>
  </si>
  <si>
    <t>10:00-10:20</t>
  </si>
  <si>
    <t>Pool - T1</t>
  </si>
  <si>
    <t>T2 setup guidance</t>
  </si>
  <si>
    <t>9:40-11:00</t>
  </si>
  <si>
    <t>Timing</t>
  </si>
  <si>
    <t>T1</t>
  </si>
  <si>
    <t>9:30-9:40</t>
  </si>
  <si>
    <t>Briefing at Mega House</t>
  </si>
  <si>
    <t>10:20-11:00</t>
  </si>
  <si>
    <t>Pool - deck</t>
  </si>
  <si>
    <t xml:space="preserve">Start prep. Athlete timing. </t>
  </si>
  <si>
    <t>11:00-end</t>
  </si>
  <si>
    <t>Aid station setup and operation</t>
  </si>
  <si>
    <t>Bike</t>
  </si>
  <si>
    <t>35km/h</t>
  </si>
  <si>
    <t>15km/h</t>
  </si>
  <si>
    <t>30km/h</t>
  </si>
  <si>
    <t>9:40-10:00</t>
  </si>
  <si>
    <t>Travel to Rengstorff pool</t>
  </si>
  <si>
    <t>11:00-11:10</t>
  </si>
  <si>
    <t>T2</t>
  </si>
  <si>
    <t>T1 setup at Rengstorff</t>
  </si>
  <si>
    <t>11:20-end</t>
  </si>
  <si>
    <t>Run</t>
  </si>
  <si>
    <t>3:36/km</t>
  </si>
  <si>
    <t>12:00/km</t>
  </si>
  <si>
    <t>4:24/km</t>
  </si>
  <si>
    <t>10:20-10:30</t>
  </si>
  <si>
    <t>Swim preparation</t>
  </si>
  <si>
    <t>Total</t>
  </si>
  <si>
    <t>min</t>
  </si>
  <si>
    <t>10:30</t>
  </si>
  <si>
    <t>Swim start</t>
  </si>
  <si>
    <t>h</t>
  </si>
  <si>
    <t>11:00</t>
  </si>
  <si>
    <t>Swim cutoff</t>
  </si>
  <si>
    <t>Finish time</t>
  </si>
  <si>
    <t>11:30-15:00</t>
  </si>
  <si>
    <t>BBQ and post race amenities available</t>
  </si>
  <si>
    <t>13:30</t>
  </si>
  <si>
    <t>Race cutoff (we will come find you on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</si>
</sst>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6">
    <xf numFmtId="0" fontId="0" fillId="0" borderId="0" xfId="0"/>
    <xf numFmtId="0" fontId="1" fillId="0" borderId="0" xfId="0" applyFont="1"/>
    <xf numFmtId="20" fontId="0" fillId="0" borderId="0" xfId="0" applyNumberFormat="1"/>
    <xf numFmtId="20" fontId="0" fillId="0" borderId="0" xfId="0" quotePrefix="1" applyNumberFormat="1"/>
    <xf numFmtId="0" fontId="0" fillId="0" borderId="1" xfId="0"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D4CE-F6AA-BB45-AF65-18424309FB8F}">
  <dimension ref="B2:F11"/>
  <sheetViews>
    <sheetView tabSelected="1" zoomScaleNormal="100" zoomScaleSheetLayoutView="100" workbookViewId="0">
      <selection activeCell="C9" sqref="C9"/>
    </sheetView>
  </sheetViews>
  <sheetFormatPr defaultRowHeight="15"/>
  <sheetData>
    <row r="2" spans="2:6">
      <c r="B2" s="1" t="s">
        <v>0</v>
      </c>
      <c r="D2" s="1" t="s">
        <v>1</v>
      </c>
      <c r="F2" s="1" t="s">
        <v>2</v>
      </c>
    </row>
    <row r="3" spans="2:6">
      <c r="B3" t="s">
        <v>3</v>
      </c>
      <c r="D3" t="s">
        <v>4</v>
      </c>
      <c r="F3" t="s">
        <v>5</v>
      </c>
    </row>
    <row r="4" spans="2:6">
      <c r="B4" t="s">
        <v>6</v>
      </c>
      <c r="D4" t="s">
        <v>7</v>
      </c>
      <c r="F4" t="s">
        <v>8</v>
      </c>
    </row>
    <row r="5" spans="2:6">
      <c r="B5" t="s">
        <v>9</v>
      </c>
      <c r="F5" t="s">
        <v>10</v>
      </c>
    </row>
    <row r="6" spans="2:6">
      <c r="B6" t="s">
        <v>11</v>
      </c>
    </row>
    <row r="7" spans="2:6">
      <c r="B7" t="s">
        <v>12</v>
      </c>
    </row>
    <row r="8" spans="2:6">
      <c r="B8" t="s">
        <v>13</v>
      </c>
    </row>
    <row r="9" spans="2:6">
      <c r="B9" t="s">
        <v>14</v>
      </c>
    </row>
    <row r="10" spans="2:6">
      <c r="B10" t="s">
        <v>15</v>
      </c>
    </row>
    <row r="11" spans="2:6">
      <c r="B1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F392-66C0-4066-9B41-8A5DC44BE6F2}">
  <dimension ref="B2:B22"/>
  <sheetViews>
    <sheetView topLeftCell="A3" zoomScaleNormal="100" zoomScaleSheetLayoutView="100" workbookViewId="0">
      <selection activeCell="B22" sqref="B22"/>
    </sheetView>
  </sheetViews>
  <sheetFormatPr defaultRowHeight="15"/>
  <sheetData>
    <row r="2" spans="2:2">
      <c r="B2" t="s">
        <v>17</v>
      </c>
    </row>
    <row r="3" spans="2:2">
      <c r="B3" t="s">
        <v>18</v>
      </c>
    </row>
    <row r="4" spans="2:2">
      <c r="B4" t="s">
        <v>19</v>
      </c>
    </row>
    <row r="5" spans="2:2">
      <c r="B5" t="s">
        <v>20</v>
      </c>
    </row>
    <row r="7" spans="2:2">
      <c r="B7" t="s">
        <v>21</v>
      </c>
    </row>
    <row r="8" spans="2:2">
      <c r="B8" t="s">
        <v>22</v>
      </c>
    </row>
    <row r="9" spans="2:2">
      <c r="B9" t="s">
        <v>23</v>
      </c>
    </row>
    <row r="10" spans="2:2">
      <c r="B10" t="s">
        <v>24</v>
      </c>
    </row>
    <row r="12" spans="2:2">
      <c r="B12" t="s">
        <v>25</v>
      </c>
    </row>
    <row r="13" spans="2:2">
      <c r="B13" t="s">
        <v>26</v>
      </c>
    </row>
    <row r="14" spans="2:2">
      <c r="B14" t="s">
        <v>27</v>
      </c>
    </row>
    <row r="15" spans="2:2">
      <c r="B15" t="s">
        <v>28</v>
      </c>
    </row>
    <row r="17" spans="2:2">
      <c r="B17" t="s">
        <v>29</v>
      </c>
    </row>
    <row r="19" spans="2:2">
      <c r="B19" t="s">
        <v>30</v>
      </c>
    </row>
    <row r="20" spans="2:2">
      <c r="B20" t="s">
        <v>31</v>
      </c>
    </row>
    <row r="22" spans="2:2">
      <c r="B22"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B62B-45DE-4608-B107-57B3598BB926}">
  <dimension ref="B2:Y12"/>
  <sheetViews>
    <sheetView topLeftCell="H1" zoomScaleNormal="100" zoomScaleSheetLayoutView="100" workbookViewId="0">
      <selection activeCell="M23" sqref="M23"/>
    </sheetView>
  </sheetViews>
  <sheetFormatPr defaultRowHeight="15"/>
  <cols>
    <col min="2" max="2" width="10.85546875" bestFit="1" customWidth="1"/>
    <col min="7" max="7" width="13.140625" bestFit="1" customWidth="1"/>
    <col min="8" max="8" width="10.85546875" bestFit="1" customWidth="1"/>
    <col min="9" max="9" width="37.28515625" bestFit="1" customWidth="1"/>
    <col min="10" max="10" width="4.85546875" customWidth="1"/>
    <col min="11" max="11" width="13.140625" bestFit="1" customWidth="1"/>
    <col min="12" max="12" width="10.5703125" bestFit="1" customWidth="1"/>
    <col min="13" max="13" width="31.42578125" bestFit="1" customWidth="1"/>
    <col min="15" max="15" width="10.5703125" customWidth="1"/>
    <col min="19" max="19" width="10.5703125" customWidth="1"/>
  </cols>
  <sheetData>
    <row r="2" spans="2:25">
      <c r="B2" s="1" t="s">
        <v>33</v>
      </c>
      <c r="G2" s="1" t="s">
        <v>34</v>
      </c>
      <c r="K2" s="1" t="s">
        <v>35</v>
      </c>
      <c r="O2" s="1" t="s">
        <v>36</v>
      </c>
      <c r="S2" s="1" t="s">
        <v>37</v>
      </c>
      <c r="W2" s="1" t="s">
        <v>38</v>
      </c>
    </row>
    <row r="3" spans="2:25">
      <c r="B3" s="3" t="s">
        <v>39</v>
      </c>
      <c r="C3" t="s">
        <v>40</v>
      </c>
      <c r="G3" t="s">
        <v>41</v>
      </c>
      <c r="H3" t="s">
        <v>42</v>
      </c>
      <c r="I3" t="s">
        <v>43</v>
      </c>
      <c r="K3" t="s">
        <v>44</v>
      </c>
      <c r="L3" t="s">
        <v>42</v>
      </c>
      <c r="M3" t="s">
        <v>45</v>
      </c>
      <c r="O3" t="s">
        <v>46</v>
      </c>
      <c r="P3">
        <v>8.5</v>
      </c>
      <c r="Q3" t="s">
        <v>47</v>
      </c>
      <c r="S3" t="s">
        <v>46</v>
      </c>
      <c r="T3">
        <v>22.5</v>
      </c>
      <c r="U3" t="s">
        <v>48</v>
      </c>
      <c r="W3" t="s">
        <v>46</v>
      </c>
      <c r="X3">
        <v>11.25</v>
      </c>
      <c r="Y3" t="s">
        <v>49</v>
      </c>
    </row>
    <row r="4" spans="2:25">
      <c r="B4" t="s">
        <v>44</v>
      </c>
      <c r="C4" t="s">
        <v>50</v>
      </c>
      <c r="G4" t="s">
        <v>51</v>
      </c>
      <c r="H4" t="s">
        <v>52</v>
      </c>
      <c r="I4" t="s">
        <v>53</v>
      </c>
      <c r="K4" t="s">
        <v>54</v>
      </c>
      <c r="L4" t="s">
        <v>52</v>
      </c>
      <c r="M4" t="s">
        <v>55</v>
      </c>
      <c r="O4" t="s">
        <v>56</v>
      </c>
      <c r="P4">
        <v>1</v>
      </c>
      <c r="S4" t="s">
        <v>56</v>
      </c>
      <c r="T4">
        <v>8</v>
      </c>
      <c r="W4" t="s">
        <v>56</v>
      </c>
      <c r="X4">
        <v>1</v>
      </c>
    </row>
    <row r="5" spans="2:25">
      <c r="B5" t="s">
        <v>57</v>
      </c>
      <c r="C5" t="s">
        <v>58</v>
      </c>
      <c r="G5" t="s">
        <v>59</v>
      </c>
      <c r="H5" t="s">
        <v>60</v>
      </c>
      <c r="I5" t="s">
        <v>61</v>
      </c>
      <c r="K5" t="s">
        <v>62</v>
      </c>
      <c r="L5" t="s">
        <v>42</v>
      </c>
      <c r="M5" t="s">
        <v>63</v>
      </c>
      <c r="O5" t="s">
        <v>64</v>
      </c>
      <c r="P5">
        <v>35</v>
      </c>
      <c r="Q5" t="s">
        <v>65</v>
      </c>
      <c r="S5" t="s">
        <v>64</v>
      </c>
      <c r="T5">
        <v>80</v>
      </c>
      <c r="U5" t="s">
        <v>66</v>
      </c>
      <c r="W5" t="s">
        <v>64</v>
      </c>
      <c r="X5">
        <v>40</v>
      </c>
      <c r="Y5" t="s">
        <v>67</v>
      </c>
    </row>
    <row r="6" spans="2:25">
      <c r="B6" t="s">
        <v>68</v>
      </c>
      <c r="C6" t="s">
        <v>69</v>
      </c>
      <c r="G6" t="s">
        <v>70</v>
      </c>
      <c r="H6" t="s">
        <v>52</v>
      </c>
      <c r="I6" t="s">
        <v>55</v>
      </c>
      <c r="O6" t="s">
        <v>71</v>
      </c>
      <c r="P6">
        <v>0.5</v>
      </c>
      <c r="S6" t="s">
        <v>71</v>
      </c>
      <c r="T6">
        <v>3</v>
      </c>
      <c r="W6" t="s">
        <v>71</v>
      </c>
      <c r="X6">
        <v>0.5</v>
      </c>
    </row>
    <row r="7" spans="2:25">
      <c r="B7" t="s">
        <v>51</v>
      </c>
      <c r="C7" t="s">
        <v>72</v>
      </c>
      <c r="G7" t="s">
        <v>73</v>
      </c>
      <c r="H7" t="s">
        <v>42</v>
      </c>
      <c r="I7" t="s">
        <v>55</v>
      </c>
      <c r="O7" t="s">
        <v>74</v>
      </c>
      <c r="P7">
        <v>18</v>
      </c>
      <c r="Q7" t="s">
        <v>75</v>
      </c>
      <c r="S7" t="s">
        <v>74</v>
      </c>
      <c r="T7">
        <v>60</v>
      </c>
      <c r="U7" t="s">
        <v>76</v>
      </c>
      <c r="W7" t="s">
        <v>74</v>
      </c>
      <c r="X7">
        <v>22</v>
      </c>
      <c r="Y7" t="s">
        <v>77</v>
      </c>
    </row>
    <row r="8" spans="2:25">
      <c r="B8" t="s">
        <v>78</v>
      </c>
      <c r="C8" t="s">
        <v>79</v>
      </c>
      <c r="O8" s="4" t="s">
        <v>80</v>
      </c>
      <c r="P8" s="4">
        <f>SUM(P3:P7)</f>
        <v>63</v>
      </c>
      <c r="Q8" s="4" t="s">
        <v>81</v>
      </c>
      <c r="S8" s="4" t="s">
        <v>80</v>
      </c>
      <c r="T8" s="4">
        <f>SUM(T3:T7)</f>
        <v>173.5</v>
      </c>
      <c r="U8" s="4" t="s">
        <v>81</v>
      </c>
      <c r="W8" s="4" t="s">
        <v>80</v>
      </c>
      <c r="X8" s="4">
        <f>SUM(X3:X7)</f>
        <v>74.75</v>
      </c>
      <c r="Y8" s="4" t="s">
        <v>81</v>
      </c>
    </row>
    <row r="9" spans="2:25">
      <c r="B9" s="3" t="s">
        <v>82</v>
      </c>
      <c r="C9" t="s">
        <v>83</v>
      </c>
      <c r="T9" s="5">
        <f>T8/60</f>
        <v>2.8916666666666666</v>
      </c>
      <c r="U9" t="s">
        <v>84</v>
      </c>
      <c r="X9" s="5">
        <f>X8/60</f>
        <v>1.2458333333333333</v>
      </c>
      <c r="Y9" t="s">
        <v>84</v>
      </c>
    </row>
    <row r="10" spans="2:25">
      <c r="B10" s="3" t="s">
        <v>85</v>
      </c>
      <c r="C10" t="s">
        <v>86</v>
      </c>
      <c r="O10" t="s">
        <v>87</v>
      </c>
      <c r="P10" s="2">
        <v>0.48125000000000001</v>
      </c>
      <c r="S10" t="s">
        <v>87</v>
      </c>
      <c r="T10" s="2">
        <v>0.55763888888888891</v>
      </c>
      <c r="W10" t="s">
        <v>87</v>
      </c>
      <c r="X10" s="2">
        <v>0.48958333333333331</v>
      </c>
    </row>
    <row r="11" spans="2:25">
      <c r="B11" s="2" t="s">
        <v>88</v>
      </c>
      <c r="C11" t="s">
        <v>89</v>
      </c>
    </row>
    <row r="12" spans="2:25">
      <c r="B12" s="3" t="s">
        <v>90</v>
      </c>
      <c r="C1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R-A</dc:creator>
  <cp:keywords/>
  <dc:description/>
  <cp:lastModifiedBy>Sam R-A</cp:lastModifiedBy>
  <cp:revision/>
  <dcterms:created xsi:type="dcterms:W3CDTF">2026-07-19T16:26:58Z</dcterms:created>
  <dcterms:modified xsi:type="dcterms:W3CDTF">2026-07-31T06:32:55Z</dcterms:modified>
  <cp:category/>
  <cp:contentStatus/>
</cp:coreProperties>
</file>