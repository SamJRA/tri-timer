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showInkAnnotation="0"/>
  <xr:revisionPtr revIDLastSave="176" documentId="7_{046A3801-B870-2144-A3DE-C380BD0DB075}" xr6:coauthVersionLast="47" xr6:coauthVersionMax="47" xr10:uidLastSave="{1FE636E9-D0F3-4FDC-A82C-9F4AA81CBC31}"/>
  <bookViews>
    <workbookView xWindow="0" yWindow="0" windowWidth="0" windowHeight="0" firstSheet="2" activeTab="2" xr2:uid="{00000000-000D-0000-FFFF-FFFF00000000}"/>
  </bookViews>
  <sheets>
    <sheet name="To Do" sheetId="1" r:id="rId1"/>
    <sheet name="Guide" sheetId="3" r:id="rId2"/>
    <sheet name="Schedule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8" i="2" l="1"/>
  <c r="W9" i="2" s="1"/>
  <c r="S8" i="2"/>
  <c r="S9" i="2" s="1"/>
  <c r="O8" i="2"/>
</calcChain>
</file>

<file path=xl/sharedStrings.xml><?xml version="1.0" encoding="utf-8"?>
<sst xmlns="http://schemas.openxmlformats.org/spreadsheetml/2006/main" count="90" uniqueCount="66">
  <si>
    <t>List</t>
  </si>
  <si>
    <t>Lead up</t>
  </si>
  <si>
    <t>Day Before</t>
  </si>
  <si>
    <t>Table cloth</t>
  </si>
  <si>
    <t>Guide</t>
  </si>
  <si>
    <t>Signage and chalk</t>
  </si>
  <si>
    <t>Gatorade</t>
  </si>
  <si>
    <t>Talk to the pool</t>
  </si>
  <si>
    <t>Cups</t>
  </si>
  <si>
    <t>Get cloth for small table</t>
  </si>
  <si>
    <t>Ice</t>
  </si>
  <si>
    <t>Chalk</t>
  </si>
  <si>
    <t>If you're worried about getting lost, carry your phone. Use the RidewithGPS app with location services turned on to overlay your location on the course map.</t>
  </si>
  <si>
    <t>Athlete schedule</t>
  </si>
  <si>
    <t>Race director 1</t>
  </si>
  <si>
    <t>Race director 2</t>
  </si>
  <si>
    <t>Estimated fastest times</t>
  </si>
  <si>
    <t>Estimated slowest times</t>
  </si>
  <si>
    <t>Estimated Sam time</t>
  </si>
  <si>
    <t>9:00</t>
  </si>
  <si>
    <t>Check-in at Mega House</t>
  </si>
  <si>
    <t>9:00-9:50</t>
  </si>
  <si>
    <t>Mega House</t>
  </si>
  <si>
    <t>9:00-9:30</t>
  </si>
  <si>
    <t>Swim</t>
  </si>
  <si>
    <t>1:08/100m</t>
  </si>
  <si>
    <t>3:00/100m</t>
  </si>
  <si>
    <t>1:30/100m</t>
  </si>
  <si>
    <t>T2 setup at Mega House</t>
  </si>
  <si>
    <t>10:00-10:20</t>
  </si>
  <si>
    <t>Pool - T1</t>
  </si>
  <si>
    <t>9:40-11:00</t>
  </si>
  <si>
    <t>T1</t>
  </si>
  <si>
    <t>9:30-9:40</t>
  </si>
  <si>
    <t>Briefing at Mega House</t>
  </si>
  <si>
    <t>10:20-11:00</t>
  </si>
  <si>
    <t>Pool - deck</t>
  </si>
  <si>
    <t>11:00-end</t>
  </si>
  <si>
    <t>Bike</t>
  </si>
  <si>
    <t>35km/h</t>
  </si>
  <si>
    <t>15km/h</t>
  </si>
  <si>
    <t>30km/h</t>
  </si>
  <si>
    <t>9:40-10:00</t>
  </si>
  <si>
    <t>Travel to Rengstorff pool</t>
  </si>
  <si>
    <t>11:00-11:10</t>
  </si>
  <si>
    <t>T2</t>
  </si>
  <si>
    <t>T1 setup at Rengstorff</t>
  </si>
  <si>
    <t>11:20-end</t>
  </si>
  <si>
    <t>Run</t>
  </si>
  <si>
    <t>3:36/km</t>
  </si>
  <si>
    <t>12:00/km</t>
  </si>
  <si>
    <t>4:24/km</t>
  </si>
  <si>
    <t>10:20-10:30</t>
  </si>
  <si>
    <t>Swim preparation</t>
  </si>
  <si>
    <t>Total</t>
  </si>
  <si>
    <t>min</t>
  </si>
  <si>
    <t>10:30</t>
  </si>
  <si>
    <t>Swim start</t>
  </si>
  <si>
    <t>h</t>
  </si>
  <si>
    <t>11:00</t>
  </si>
  <si>
    <t>Swim cutoff</t>
  </si>
  <si>
    <t>Finish time</t>
  </si>
  <si>
    <t>11:30-15:00</t>
  </si>
  <si>
    <t>BBQ and post race amenities available</t>
  </si>
  <si>
    <t>13:30</t>
  </si>
  <si>
    <t>Race cutoff (we will come find you on the course)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</si>
</sst>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0" fontId="0" fillId="0" borderId="0" xfId="0" applyNumberFormat="1"/>
    <xf numFmtId="20" fontId="0" fillId="0" borderId="0" xfId="0" quotePrefix="1" applyNumberFormat="1"/>
    <xf numFmtId="0" fontId="0" fillId="0" borderId="1" xfId="0" applyFon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DD4CE-F6AA-BB45-AF65-18424309FB8F}">
  <dimension ref="B2:F7"/>
  <sheetViews>
    <sheetView zoomScaleNormal="100" zoomScaleSheetLayoutView="100" workbookViewId="0">
      <selection activeCell="E6" sqref="E6"/>
    </sheetView>
  </sheetViews>
  <sheetFormatPr defaultRowHeight="15"/>
  <sheetData>
    <row r="2" spans="2:6">
      <c r="B2" s="1" t="s">
        <v>0</v>
      </c>
      <c r="D2" s="1" t="s">
        <v>1</v>
      </c>
      <c r="F2" s="1" t="s">
        <v>2</v>
      </c>
    </row>
    <row r="3" spans="2:6">
      <c r="B3" t="s">
        <v>3</v>
      </c>
      <c r="D3" t="s">
        <v>4</v>
      </c>
      <c r="F3" t="s">
        <v>5</v>
      </c>
    </row>
    <row r="4" spans="2:6">
      <c r="B4" t="s">
        <v>6</v>
      </c>
      <c r="D4" t="s">
        <v>7</v>
      </c>
    </row>
    <row r="5" spans="2:6">
      <c r="B5" t="s">
        <v>8</v>
      </c>
      <c r="D5" t="s">
        <v>9</v>
      </c>
    </row>
    <row r="6" spans="2:6">
      <c r="B6" t="s">
        <v>10</v>
      </c>
    </row>
    <row r="7" spans="2:6">
      <c r="B7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392-66C0-4066-9B41-8A5DC44BE6F2}">
  <dimension ref="B5"/>
  <sheetViews>
    <sheetView workbookViewId="0">
      <selection activeCell="B2" sqref="B2"/>
    </sheetView>
  </sheetViews>
  <sheetFormatPr defaultRowHeight="15"/>
  <sheetData>
    <row r="5" spans="2:2">
      <c r="B5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62B-45DE-4608-B107-57B3598BB926}">
  <dimension ref="B2:X12"/>
  <sheetViews>
    <sheetView tabSelected="1" workbookViewId="0">
      <selection activeCell="C12" sqref="C12"/>
    </sheetView>
  </sheetViews>
  <sheetFormatPr defaultRowHeight="15"/>
  <cols>
    <col min="2" max="2" width="11.5703125" bestFit="1" customWidth="1"/>
    <col min="7" max="7" width="14.140625" bestFit="1" customWidth="1"/>
    <col min="8" max="8" width="11.7109375" bestFit="1" customWidth="1"/>
    <col min="10" max="10" width="14.140625" bestFit="1" customWidth="1"/>
    <col min="14" max="14" width="10.5703125" customWidth="1"/>
    <col min="18" max="18" width="10.5703125" customWidth="1"/>
  </cols>
  <sheetData>
    <row r="2" spans="2:24">
      <c r="B2" s="1" t="s">
        <v>13</v>
      </c>
      <c r="G2" s="1" t="s">
        <v>14</v>
      </c>
      <c r="J2" s="1" t="s">
        <v>15</v>
      </c>
      <c r="N2" s="1" t="s">
        <v>16</v>
      </c>
      <c r="R2" s="1" t="s">
        <v>17</v>
      </c>
      <c r="V2" s="1" t="s">
        <v>18</v>
      </c>
    </row>
    <row r="3" spans="2:24">
      <c r="B3" s="3" t="s">
        <v>19</v>
      </c>
      <c r="C3" t="s">
        <v>20</v>
      </c>
      <c r="G3" t="s">
        <v>21</v>
      </c>
      <c r="H3" t="s">
        <v>22</v>
      </c>
      <c r="J3" t="s">
        <v>23</v>
      </c>
      <c r="K3" t="s">
        <v>22</v>
      </c>
      <c r="N3" t="s">
        <v>24</v>
      </c>
      <c r="O3">
        <v>8.5</v>
      </c>
      <c r="P3" t="s">
        <v>25</v>
      </c>
      <c r="R3" t="s">
        <v>24</v>
      </c>
      <c r="S3">
        <v>22.5</v>
      </c>
      <c r="T3" t="s">
        <v>26</v>
      </c>
      <c r="V3" t="s">
        <v>24</v>
      </c>
      <c r="W3">
        <v>11.25</v>
      </c>
      <c r="X3" t="s">
        <v>27</v>
      </c>
    </row>
    <row r="4" spans="2:24">
      <c r="B4" t="s">
        <v>23</v>
      </c>
      <c r="C4" t="s">
        <v>28</v>
      </c>
      <c r="G4" t="s">
        <v>29</v>
      </c>
      <c r="H4" t="s">
        <v>30</v>
      </c>
      <c r="J4" t="s">
        <v>31</v>
      </c>
      <c r="K4" t="s">
        <v>30</v>
      </c>
      <c r="N4" t="s">
        <v>32</v>
      </c>
      <c r="O4">
        <v>1</v>
      </c>
      <c r="R4" t="s">
        <v>32</v>
      </c>
      <c r="S4">
        <v>8</v>
      </c>
      <c r="V4" t="s">
        <v>32</v>
      </c>
      <c r="W4">
        <v>1</v>
      </c>
    </row>
    <row r="5" spans="2:24">
      <c r="B5" t="s">
        <v>33</v>
      </c>
      <c r="C5" t="s">
        <v>34</v>
      </c>
      <c r="G5" t="s">
        <v>35</v>
      </c>
      <c r="H5" t="s">
        <v>36</v>
      </c>
      <c r="J5" t="s">
        <v>37</v>
      </c>
      <c r="K5" t="s">
        <v>22</v>
      </c>
      <c r="N5" t="s">
        <v>38</v>
      </c>
      <c r="O5">
        <v>35</v>
      </c>
      <c r="P5" t="s">
        <v>39</v>
      </c>
      <c r="R5" t="s">
        <v>38</v>
      </c>
      <c r="S5">
        <v>80</v>
      </c>
      <c r="T5" t="s">
        <v>40</v>
      </c>
      <c r="V5" t="s">
        <v>38</v>
      </c>
      <c r="W5">
        <v>40</v>
      </c>
      <c r="X5" t="s">
        <v>41</v>
      </c>
    </row>
    <row r="6" spans="2:24">
      <c r="B6" t="s">
        <v>42</v>
      </c>
      <c r="C6" t="s">
        <v>43</v>
      </c>
      <c r="G6" t="s">
        <v>44</v>
      </c>
      <c r="H6" t="s">
        <v>30</v>
      </c>
      <c r="N6" t="s">
        <v>45</v>
      </c>
      <c r="O6">
        <v>0.5</v>
      </c>
      <c r="R6" t="s">
        <v>45</v>
      </c>
      <c r="S6">
        <v>3</v>
      </c>
      <c r="V6" t="s">
        <v>45</v>
      </c>
      <c r="W6">
        <v>0.5</v>
      </c>
    </row>
    <row r="7" spans="2:24">
      <c r="B7" t="s">
        <v>29</v>
      </c>
      <c r="C7" t="s">
        <v>46</v>
      </c>
      <c r="G7" t="s">
        <v>47</v>
      </c>
      <c r="H7" t="s">
        <v>22</v>
      </c>
      <c r="N7" t="s">
        <v>48</v>
      </c>
      <c r="O7">
        <v>18</v>
      </c>
      <c r="P7" t="s">
        <v>49</v>
      </c>
      <c r="R7" t="s">
        <v>48</v>
      </c>
      <c r="S7">
        <v>60</v>
      </c>
      <c r="T7" t="s">
        <v>50</v>
      </c>
      <c r="V7" t="s">
        <v>48</v>
      </c>
      <c r="W7">
        <v>22</v>
      </c>
      <c r="X7" t="s">
        <v>51</v>
      </c>
    </row>
    <row r="8" spans="2:24">
      <c r="B8" t="s">
        <v>52</v>
      </c>
      <c r="C8" t="s">
        <v>53</v>
      </c>
      <c r="N8" s="4" t="s">
        <v>54</v>
      </c>
      <c r="O8" s="4">
        <f>SUM(O3:O7)</f>
        <v>63</v>
      </c>
      <c r="P8" s="4" t="s">
        <v>55</v>
      </c>
      <c r="R8" s="4" t="s">
        <v>54</v>
      </c>
      <c r="S8" s="4">
        <f>SUM(S3:S7)</f>
        <v>173.5</v>
      </c>
      <c r="T8" s="4" t="s">
        <v>55</v>
      </c>
      <c r="V8" s="4" t="s">
        <v>54</v>
      </c>
      <c r="W8" s="4">
        <f>SUM(W3:W7)</f>
        <v>74.75</v>
      </c>
      <c r="X8" s="4" t="s">
        <v>55</v>
      </c>
    </row>
    <row r="9" spans="2:24">
      <c r="B9" s="3" t="s">
        <v>56</v>
      </c>
      <c r="C9" t="s">
        <v>57</v>
      </c>
      <c r="S9" s="5">
        <f>S8/60</f>
        <v>2.8916666666666666</v>
      </c>
      <c r="T9" t="s">
        <v>58</v>
      </c>
      <c r="W9" s="5">
        <f>W8/60</f>
        <v>1.2458333333333333</v>
      </c>
      <c r="X9" t="s">
        <v>58</v>
      </c>
    </row>
    <row r="10" spans="2:24">
      <c r="B10" s="3" t="s">
        <v>59</v>
      </c>
      <c r="C10" t="s">
        <v>60</v>
      </c>
      <c r="N10" t="s">
        <v>61</v>
      </c>
      <c r="O10" s="2">
        <v>0.48125000000000001</v>
      </c>
      <c r="R10" t="s">
        <v>61</v>
      </c>
      <c r="S10" s="2">
        <v>0.55763888888888891</v>
      </c>
      <c r="V10" t="s">
        <v>61</v>
      </c>
      <c r="W10" s="2">
        <v>0.48958333333333331</v>
      </c>
    </row>
    <row r="11" spans="2:24">
      <c r="B11" s="2" t="s">
        <v>62</v>
      </c>
      <c r="C11" t="s">
        <v>63</v>
      </c>
    </row>
    <row r="12" spans="2:24">
      <c r="B12" s="3" t="s">
        <v>64</v>
      </c>
      <c r="C12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R-A</dc:creator>
  <cp:keywords/>
  <dc:description/>
  <cp:lastModifiedBy>Sam R-A</cp:lastModifiedBy>
  <cp:revision/>
  <dcterms:created xsi:type="dcterms:W3CDTF">2026-07-19T16:26:58Z</dcterms:created>
  <dcterms:modified xsi:type="dcterms:W3CDTF">2026-07-20T17:17:57Z</dcterms:modified>
  <cp:category/>
  <cp:contentStatus/>
</cp:coreProperties>
</file>